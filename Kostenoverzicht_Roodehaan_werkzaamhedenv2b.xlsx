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ostenoverzicht" sheetId="1" state="visible" r:id="rId3"/>
    <sheet name="Samenvatting" sheetId="2" state="visible" r:id="rId4"/>
  </sheets>
  <definedNames>
    <definedName function="false" hidden="false" localSheetId="0" name="_xlnm.Print_Area" vbProcedure="false">Kostenoverzicht!$A$1:$H$29</definedName>
    <definedName function="false" hidden="false" localSheetId="0" name="_xlnm.Print_Titles" vbProcedure="false">Kostenoverzicht!$4:$4</definedName>
    <definedName function="false" hidden="false" localSheetId="1" name="_xlnm.Print_Area" vbProcedure="false">Samenvatting!$A$1:$E$30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<sst xmlns="http://schemas.openxmlformats.org/spreadsheetml/2006/main" count="112" uniqueCount="66">
  <si>
    <t xml:space="preserve">Kostenoverzicht werkzaamheden Roodehaan</t>
  </si>
  <si>
    <t xml:space="preserve">Bekende bedragen worden per veld gesubtotaliseerd; open posten zijn geel gemarkeerd en als TBD aangeduid. Eenheidsprijzen worden waar mogelijk automatisch uit het totaalbedrag berekend.</t>
  </si>
  <si>
    <t xml:space="preserve">Veld</t>
  </si>
  <si>
    <t xml:space="preserve">Nr.</t>
  </si>
  <si>
    <t xml:space="preserve">Type / werkzaamheden</t>
  </si>
  <si>
    <t xml:space="preserve">Hoeveelheid</t>
  </si>
  <si>
    <t xml:space="preserve">Eenheid</t>
  </si>
  <si>
    <t xml:space="preserve">Eenheidsprijs (€)</t>
  </si>
  <si>
    <t xml:space="preserve">Subtotaal (€)</t>
  </si>
  <si>
    <t xml:space="preserve">Status / opmerking</t>
  </si>
  <si>
    <t xml:space="preserve">Roodehaan 2B</t>
  </si>
  <si>
    <t xml:space="preserve">1</t>
  </si>
  <si>
    <t xml:space="preserve">Betonblokken/bakken plaatsen met reflecterende markering om hoeken van tafels te markeren</t>
  </si>
  <si>
    <t xml:space="preserve">stuks</t>
  </si>
  <si>
    <t xml:space="preserve">Bekend</t>
  </si>
  <si>
    <t xml:space="preserve">2</t>
  </si>
  <si>
    <t xml:space="preserve">Betonnen U-elementen zetten bij kabels onder 28 tafels (ca. 2 stuks per tafel)</t>
  </si>
  <si>
    <t xml:space="preserve">Bekend; hoeveelheid ca. 56 stuks</t>
  </si>
  <si>
    <t xml:space="preserve">3</t>
  </si>
  <si>
    <t xml:space="preserve">Dam aanvullen met granulaat en duiker vervangen</t>
  </si>
  <si>
    <t xml:space="preserve">post</t>
  </si>
  <si>
    <t xml:space="preserve">4</t>
  </si>
  <si>
    <t xml:space="preserve">Opslagterrein leegruimen (excl. verwerkingskosten gemeente)</t>
  </si>
  <si>
    <t xml:space="preserve">Bekend; als post opgenomen (hoeveelheid/eenheid ontbraken in origineel)</t>
  </si>
  <si>
    <t xml:space="preserve">5</t>
  </si>
  <si>
    <t xml:space="preserve">Cameras: Sleuven maken en mantelbuizen aanbrengen, incl. ca. 10 cm zand onder en boven de buis</t>
  </si>
  <si>
    <t xml:space="preserve">TBD; hoeveelheid en prijs nog te bepalen</t>
  </si>
  <si>
    <t xml:space="preserve">Subtotaal Roodehaan 2B</t>
  </si>
  <si>
    <t xml:space="preserve">1 open post(en)</t>
  </si>
  <si>
    <t xml:space="preserve">Roodehaan 4</t>
  </si>
  <si>
    <t xml:space="preserve">m1</t>
  </si>
  <si>
    <t xml:space="preserve">TBD; prijs nog te bepalen</t>
  </si>
  <si>
    <t xml:space="preserve">Aanbrengen asfaltgranulaat volgens schets, incl. aanvulling rondom powerstation</t>
  </si>
  <si>
    <t xml:space="preserve">Voorlopig alleen weg zuidzijde en rond transformator (dus eerder richting EUR 15K i.p.v. EUR 28.250)</t>
  </si>
  <si>
    <t xml:space="preserve">Overlagen bestaande toegangsweg RH1</t>
  </si>
  <si>
    <t xml:space="preserve">Subtotaal Roodehaan 4</t>
  </si>
  <si>
    <t xml:space="preserve">Roodehaan 2A</t>
  </si>
  <si>
    <t xml:space="preserve">Rond transformator aanvullen met zand, incl. levering zand</t>
  </si>
  <si>
    <t xml:space="preserve">Resterende omvormers voorzien van grindplaat</t>
  </si>
  <si>
    <t xml:space="preserve">TBD</t>
  </si>
  <si>
    <t xml:space="preserve">Aanleggen bouwweg rond powerstation en extra stuk volgens schets</t>
  </si>
  <si>
    <t xml:space="preserve">Sleuf frezen en mantelbuis aanbrengen incl. zand onder en boven de buis</t>
  </si>
  <si>
    <t xml:space="preserve">4a</t>
  </si>
  <si>
    <t xml:space="preserve">Twee dammen plaatsen met eenvoudige duiker en grond</t>
  </si>
  <si>
    <t xml:space="preserve">Bekend; ca.-prijs</t>
  </si>
  <si>
    <t xml:space="preserve">Betonblok/bak plaatsen met reflecterende markering om hoek van tafels te markeren</t>
  </si>
  <si>
    <t xml:space="preserve">stuk</t>
  </si>
  <si>
    <t xml:space="preserve">6</t>
  </si>
  <si>
    <t xml:space="preserve">Betonblokken plaatsen t.b.v. versperren doorgang noord, incl. teelaarde voor beplanting</t>
  </si>
  <si>
    <t xml:space="preserve">7</t>
  </si>
  <si>
    <t xml:space="preserve">Subtotaal Roodehaan 2A</t>
  </si>
  <si>
    <t xml:space="preserve">4 open post(en)</t>
  </si>
  <si>
    <t xml:space="preserve">Totaal bekende kosten (alle velden)</t>
  </si>
  <si>
    <t xml:space="preserve">Legenda:</t>
  </si>
  <si>
    <t xml:space="preserve">Geel gemarkeerde cellen in kolom G zijn nog in te vullen bedragen (TBD). Kolom F berekent de eenheidsprijs automatisch zodra hoeveelheid én subtotaal bekend zijn.</t>
  </si>
  <si>
    <t xml:space="preserve">Samenvatting bekende kosten per veld</t>
  </si>
  <si>
    <t xml:space="preserve">Bekende kosten (€)</t>
  </si>
  <si>
    <t xml:space="preserve">Open/TBD posten</t>
  </si>
  <si>
    <t xml:space="preserve">Aandeel bekende kosten</t>
  </si>
  <si>
    <t xml:space="preserve">Opmerking</t>
  </si>
  <si>
    <t xml:space="preserve">1 open post: cameras (sleuf/mantelbuis), hoeveelheid en prijs nog te bepalen</t>
  </si>
  <si>
    <t xml:space="preserve">1 open prijs: cameras sleuf/mantelbuis ca. 900 m1</t>
  </si>
  <si>
    <t xml:space="preserve">4 open posten: grindplaat omvormers, bouwweg, sleuf 500 m1 en cameras</t>
  </si>
  <si>
    <t xml:space="preserve">Totaal bekende kosten</t>
  </si>
  <si>
    <t xml:space="preserve">Exclusief alle nog openstaande (TBD) posten</t>
  </si>
  <si>
    <t xml:space="preserve">Bedragen komen rechtstreeks uit de subtotalen op tabblad Kostenoverzicht; open posten tellen niet mee.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</si>
</sst>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&quot;€ &quot;#,##0.00"/>
    <numFmt numFmtId="167" formatCode="0.0%"/>
  </numFmts>
  <fonts count="15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sz val="11"/>
      <color rgb="FF1F1F1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BF8F00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2"/>
      <name val="Calibri"/>
      <family val="0"/>
      <charset val="1"/>
    </font>
    <font>
      <b val="true"/>
      <sz val="10"/>
      <name val="Calibri"/>
      <family val="0"/>
      <charset val="1"/>
    </font>
    <font>
      <i val="true"/>
      <sz val="10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F4E78"/>
        <bgColor rgb="FF156082"/>
      </patternFill>
    </fill>
    <fill>
      <patternFill patternType="solid">
        <fgColor rgb="FFD9EAF7"/>
        <bgColor rgb="FFE2F0D9"/>
      </patternFill>
    </fill>
    <fill>
      <patternFill patternType="solid">
        <fgColor rgb="FF5B9BD5"/>
        <bgColor rgb="FF8B8B8B"/>
      </patternFill>
    </fill>
    <fill>
      <patternFill patternType="solid">
        <fgColor rgb="FFF2F2F2"/>
        <bgColor rgb="FFF7FBF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2F2F2"/>
      </patternFill>
    </fill>
    <fill>
      <patternFill patternType="solid">
        <fgColor rgb="FFF7FBFF"/>
        <bgColor rgb="FFFFFFFF"/>
      </patternFill>
    </fill>
    <fill>
      <patternFill patternType="solid">
        <fgColor rgb="FFFFFDF3"/>
        <bgColor rgb="FFFFFFFF"/>
      </patternFill>
    </fill>
    <fill>
      <patternFill patternType="solid">
        <fgColor rgb="FFE2F0D9"/>
        <bgColor rgb="FFD9EAF7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medium">
        <color rgb="FF1F4E78"/>
      </left>
      <right style="thin">
        <color rgb="FFB4C6E7"/>
      </right>
      <top style="medium">
        <color rgb="FF1F4E78"/>
      </top>
      <bottom style="medium">
        <color rgb="FF1F4E78"/>
      </bottom>
      <diagonal/>
    </border>
    <border diagonalUp="false" diagonalDown="false">
      <left style="thin">
        <color rgb="FFB4C6E7"/>
      </left>
      <right style="thin">
        <color rgb="FFB4C6E7"/>
      </right>
      <top style="medium">
        <color rgb="FF1F4E78"/>
      </top>
      <bottom style="medium">
        <color rgb="FF1F4E78"/>
      </bottom>
      <diagonal/>
    </border>
    <border diagonalUp="false" diagonalDown="false">
      <left style="thin">
        <color rgb="FFB4C6E7"/>
      </left>
      <right style="medium">
        <color rgb="FF1F4E78"/>
      </right>
      <top style="medium">
        <color rgb="FF1F4E78"/>
      </top>
      <bottom style="medium">
        <color rgb="FF1F4E78"/>
      </bottom>
      <diagonal/>
    </border>
    <border diagonalUp="false" diagonalDown="false">
      <left style="medium">
        <color rgb="FF1F4E78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 diagonalUp="false" diagonalDown="false">
      <left style="thin">
        <color rgb="FFB4C6E7"/>
      </left>
      <right style="medium">
        <color rgb="FF1F4E78"/>
      </right>
      <top style="thin">
        <color rgb="FFB4C6E7"/>
      </top>
      <bottom style="thin">
        <color rgb="FFB4C6E7"/>
      </bottom>
      <diagonal/>
    </border>
    <border diagonalUp="false" diagonalDown="false">
      <left style="medium">
        <color rgb="FF1F4E78"/>
      </left>
      <right style="thin">
        <color rgb="FFB4C6E7"/>
      </right>
      <top style="thin">
        <color rgb="FF1F4E78"/>
      </top>
      <bottom style="thin">
        <color rgb="FFB4C6E7"/>
      </bottom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1F4E78"/>
      </top>
      <bottom style="thin">
        <color rgb="FFB4C6E7"/>
      </bottom>
      <diagonal/>
    </border>
    <border diagonalUp="false" diagonalDown="false">
      <left style="thin">
        <color rgb="FFB4C6E7"/>
      </left>
      <right style="medium">
        <color rgb="FF1F4E78"/>
      </right>
      <top style="thin">
        <color rgb="FF1F4E78"/>
      </top>
      <bottom style="thin">
        <color rgb="FFB4C6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5" borderId="5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5" borderId="5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5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0" fillId="6" borderId="5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7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7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8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8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8" borderId="5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8" borderId="5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8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8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9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9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9" borderId="5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9" borderId="5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9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9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1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0" fillId="5" borderId="5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0" fillId="8" borderId="5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0" fillId="9" borderId="5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1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B4C6E7"/>
      <rgbColor rgb="FF8B8B8B"/>
      <rgbColor rgb="FF5B9BD5"/>
      <rgbColor rgb="FF993366"/>
      <rgbColor rgb="FFFFF2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FFFDF3"/>
      <rgbColor rgb="FF99CCFF"/>
      <rgbColor rgb="FFFF99CC"/>
      <rgbColor rgb="FFCC99FF"/>
      <rgbColor rgb="FFF7FBFF"/>
      <rgbColor rgb="FF3366FF"/>
      <rgbColor rgb="FF33CCCC"/>
      <rgbColor rgb="FF99CC00"/>
      <rgbColor rgb="FFFFCC00"/>
      <rgbColor rgb="FFBF8F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Bekende kosten per veld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Samenvatting!B3</c:f>
              <c:strCache>
                <c:ptCount val="1"/>
                <c:pt idx="0">
                  <c:v>Bekende kosten (€)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Samenvatting!$A$4:$A$6</c:f>
              <c:strCache>
                <c:ptCount val="3"/>
                <c:pt idx="0">
                  <c:v>Roodehaan 2B</c:v>
                </c:pt>
                <c:pt idx="1">
                  <c:v>Roodehaan 4</c:v>
                </c:pt>
                <c:pt idx="2">
                  <c:v>Roodehaan 2A</c:v>
                </c:pt>
              </c:strCache>
            </c:strRef>
          </c:cat>
          <c:val>
            <c:numRef>
              <c:f>Samenvatting!$B$4:$B$6</c:f>
              <c:numCache>
                <c:formatCode>"€ "#,##0.00</c:formatCode>
                <c:ptCount val="3"/>
                <c:pt idx="0">
                  <c:v>13905</c:v>
                </c:pt>
                <c:pt idx="1">
                  <c:v>18750</c:v>
                </c:pt>
                <c:pt idx="2">
                  <c:v>7520</c:v>
                </c:pt>
              </c:numCache>
            </c:numRef>
          </c:val>
        </c:ser>
        <c:gapWidth val="150"/>
        <c:overlap val="0"/>
        <c:axId val="52050700"/>
        <c:axId val="38923566"/>
      </c:barChart>
      <c:catAx>
        <c:axId val="520507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38923566"/>
        <c:crosses val="autoZero"/>
        <c:auto val="1"/>
        <c:lblAlgn val="ctr"/>
        <c:lblOffset val="100"/>
        <c:noMultiLvlLbl val="0"/>
      </c:catAx>
      <c:valAx>
        <c:axId val="38923566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Bekende kosten (€)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€ &quot;#,##0.0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205070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10</xdr:row>
      <xdr:rowOff>41760</xdr:rowOff>
    </xdr:from>
    <xdr:to>
      <xdr:col>3</xdr:col>
      <xdr:colOff>425520</xdr:colOff>
      <xdr:row>26</xdr:row>
      <xdr:rowOff>53640</xdr:rowOff>
    </xdr:to>
    <xdr:graphicFrame>
      <xdr:nvGraphicFramePr>
        <xdr:cNvPr id="0" name="Chart 1"/>
        <xdr:cNvGraphicFramePr/>
      </xdr:nvGraphicFramePr>
      <xdr:xfrm>
        <a:off x="0" y="2743200"/>
        <a:ext cx="57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8"/>
    <col collapsed="false" customWidth="true" hidden="false" outlineLevel="0" max="3" min="3" style="0" width="52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7" min="6" style="0" width="18"/>
    <col collapsed="false" customWidth="true" hidden="false" outlineLevel="0" max="8" min="8" style="0" width="3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33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5" t="s">
        <v>9</v>
      </c>
    </row>
    <row r="5" customFormat="false" ht="28.35" hidden="false" customHeight="false" outlineLevel="0" collapsed="false">
      <c r="A5" s="6" t="s">
        <v>10</v>
      </c>
      <c r="B5" s="7" t="s">
        <v>11</v>
      </c>
      <c r="C5" s="8" t="s">
        <v>12</v>
      </c>
      <c r="D5" s="9" t="n">
        <v>2</v>
      </c>
      <c r="E5" s="7" t="s">
        <v>13</v>
      </c>
      <c r="F5" s="10" t="n">
        <f aca="false">IF(AND(D5&lt;&gt;"",G5&lt;&gt;""),G5/D5,"")</f>
        <v>795</v>
      </c>
      <c r="G5" s="10" t="n">
        <v>1590</v>
      </c>
      <c r="H5" s="11" t="s">
        <v>14</v>
      </c>
    </row>
    <row r="6" customFormat="false" ht="28.35" hidden="false" customHeight="false" outlineLevel="0" collapsed="false">
      <c r="A6" s="6" t="s">
        <v>10</v>
      </c>
      <c r="B6" s="7" t="s">
        <v>15</v>
      </c>
      <c r="C6" s="8" t="s">
        <v>16</v>
      </c>
      <c r="D6" s="9" t="n">
        <v>56</v>
      </c>
      <c r="E6" s="7" t="s">
        <v>13</v>
      </c>
      <c r="F6" s="10" t="n">
        <f aca="false">IF(AND(D6&lt;&gt;"",G6&lt;&gt;""),G6/D6,"")</f>
        <v>115</v>
      </c>
      <c r="G6" s="10" t="n">
        <v>6440</v>
      </c>
      <c r="H6" s="11" t="s">
        <v>17</v>
      </c>
    </row>
    <row r="7" customFormat="false" ht="15" hidden="false" customHeight="false" outlineLevel="0" collapsed="false">
      <c r="A7" s="6" t="s">
        <v>10</v>
      </c>
      <c r="B7" s="7" t="s">
        <v>18</v>
      </c>
      <c r="C7" s="8" t="s">
        <v>19</v>
      </c>
      <c r="D7" s="9" t="n">
        <v>1</v>
      </c>
      <c r="E7" s="7" t="s">
        <v>20</v>
      </c>
      <c r="F7" s="10" t="n">
        <f aca="false">IF(AND(D7&lt;&gt;"",G7&lt;&gt;""),G7/D7,"")</f>
        <v>2375</v>
      </c>
      <c r="G7" s="10" t="n">
        <v>2375</v>
      </c>
      <c r="H7" s="11" t="s">
        <v>14</v>
      </c>
    </row>
    <row r="8" customFormat="false" ht="41.75" hidden="false" customHeight="false" outlineLevel="0" collapsed="false">
      <c r="A8" s="6" t="s">
        <v>10</v>
      </c>
      <c r="B8" s="7" t="s">
        <v>21</v>
      </c>
      <c r="C8" s="8" t="s">
        <v>22</v>
      </c>
      <c r="D8" s="9" t="n">
        <v>1</v>
      </c>
      <c r="E8" s="7" t="s">
        <v>20</v>
      </c>
      <c r="F8" s="10" t="n">
        <f aca="false">IF(AND(D8&lt;&gt;"",G8&lt;&gt;""),G8/D8,"")</f>
        <v>3500</v>
      </c>
      <c r="G8" s="10" t="n">
        <v>3500</v>
      </c>
      <c r="H8" s="11" t="s">
        <v>23</v>
      </c>
    </row>
    <row r="9" customFormat="false" ht="28.35" hidden="false" customHeight="false" outlineLevel="0" collapsed="false">
      <c r="A9" s="6" t="s">
        <v>10</v>
      </c>
      <c r="B9" s="7" t="s">
        <v>24</v>
      </c>
      <c r="C9" s="8" t="s">
        <v>25</v>
      </c>
      <c r="D9" s="9"/>
      <c r="E9" s="7"/>
      <c r="F9" s="10" t="str">
        <f aca="false">IF(AND(D9&lt;&gt;"",G9&lt;&gt;""),G9/D9,"")</f>
        <v/>
      </c>
      <c r="G9" s="12"/>
      <c r="H9" s="13" t="s">
        <v>26</v>
      </c>
    </row>
    <row r="10" customFormat="false" ht="18" hidden="false" customHeight="true" outlineLevel="0" collapsed="false">
      <c r="A10" s="14"/>
      <c r="B10" s="15"/>
      <c r="C10" s="16" t="s">
        <v>27</v>
      </c>
      <c r="D10" s="15"/>
      <c r="E10" s="15"/>
      <c r="F10" s="15"/>
      <c r="G10" s="17" t="n">
        <f aca="false">SUM(G5:G9)</f>
        <v>13905</v>
      </c>
      <c r="H10" s="18" t="s">
        <v>28</v>
      </c>
    </row>
    <row r="12" customFormat="false" ht="28.35" hidden="false" customHeight="false" outlineLevel="0" collapsed="false">
      <c r="A12" s="19" t="s">
        <v>29</v>
      </c>
      <c r="B12" s="20" t="s">
        <v>11</v>
      </c>
      <c r="C12" s="21" t="s">
        <v>25</v>
      </c>
      <c r="D12" s="22" t="n">
        <v>900</v>
      </c>
      <c r="E12" s="20" t="s">
        <v>30</v>
      </c>
      <c r="F12" s="23" t="str">
        <f aca="false">IF(AND(D12&lt;&gt;"",G12&lt;&gt;""),G12/D12,"")</f>
        <v/>
      </c>
      <c r="G12" s="12"/>
      <c r="H12" s="24" t="s">
        <v>31</v>
      </c>
    </row>
    <row r="13" customFormat="false" ht="41.75" hidden="false" customHeight="false" outlineLevel="0" collapsed="false">
      <c r="A13" s="19" t="s">
        <v>29</v>
      </c>
      <c r="B13" s="20" t="s">
        <v>15</v>
      </c>
      <c r="C13" s="21" t="s">
        <v>32</v>
      </c>
      <c r="D13" s="22" t="n">
        <v>600</v>
      </c>
      <c r="E13" s="20" t="s">
        <v>30</v>
      </c>
      <c r="F13" s="23" t="n">
        <f aca="false">IF(AND(D13&lt;&gt;"",G13&lt;&gt;""),G13/D13,"")</f>
        <v>25</v>
      </c>
      <c r="G13" s="23" t="n">
        <v>15000</v>
      </c>
      <c r="H13" s="25" t="s">
        <v>33</v>
      </c>
    </row>
    <row r="14" customFormat="false" ht="15" hidden="false" customHeight="false" outlineLevel="0" collapsed="false">
      <c r="A14" s="19" t="s">
        <v>29</v>
      </c>
      <c r="B14" s="20" t="s">
        <v>18</v>
      </c>
      <c r="C14" s="21" t="s">
        <v>34</v>
      </c>
      <c r="D14" s="22" t="n">
        <v>200</v>
      </c>
      <c r="E14" s="20" t="s">
        <v>30</v>
      </c>
      <c r="F14" s="23" t="n">
        <f aca="false">IF(AND(D14&lt;&gt;"",G14&lt;&gt;""),G14/D14,"")</f>
        <v>18.75</v>
      </c>
      <c r="G14" s="23" t="n">
        <v>3750</v>
      </c>
      <c r="H14" s="25" t="s">
        <v>14</v>
      </c>
    </row>
    <row r="15" customFormat="false" ht="18" hidden="false" customHeight="true" outlineLevel="0" collapsed="false">
      <c r="A15" s="14"/>
      <c r="B15" s="15"/>
      <c r="C15" s="16" t="s">
        <v>35</v>
      </c>
      <c r="D15" s="15"/>
      <c r="E15" s="15"/>
      <c r="F15" s="15"/>
      <c r="G15" s="17" t="n">
        <f aca="false">SUM(G12:G14)</f>
        <v>18750</v>
      </c>
      <c r="H15" s="18" t="s">
        <v>28</v>
      </c>
    </row>
    <row r="17" customFormat="false" ht="15" hidden="false" customHeight="false" outlineLevel="0" collapsed="false">
      <c r="A17" s="26" t="s">
        <v>36</v>
      </c>
      <c r="B17" s="27" t="s">
        <v>11</v>
      </c>
      <c r="C17" s="28" t="s">
        <v>37</v>
      </c>
      <c r="D17" s="29" t="n">
        <v>1</v>
      </c>
      <c r="E17" s="27" t="s">
        <v>20</v>
      </c>
      <c r="F17" s="30" t="n">
        <f aca="false">IF(AND(D17&lt;&gt;"",G17&lt;&gt;""),G17/D17,"")</f>
        <v>1775</v>
      </c>
      <c r="G17" s="30" t="n">
        <v>1775</v>
      </c>
      <c r="H17" s="31" t="s">
        <v>14</v>
      </c>
    </row>
    <row r="18" customFormat="false" ht="15" hidden="false" customHeight="false" outlineLevel="0" collapsed="false">
      <c r="A18" s="26" t="s">
        <v>36</v>
      </c>
      <c r="B18" s="27" t="s">
        <v>15</v>
      </c>
      <c r="C18" s="28" t="s">
        <v>38</v>
      </c>
      <c r="D18" s="29"/>
      <c r="E18" s="27" t="s">
        <v>20</v>
      </c>
      <c r="F18" s="30" t="str">
        <f aca="false">IF(AND(D18&lt;&gt;"",G18&lt;&gt;""),G18/D18,"")</f>
        <v/>
      </c>
      <c r="G18" s="12"/>
      <c r="H18" s="32" t="s">
        <v>39</v>
      </c>
    </row>
    <row r="19" customFormat="false" ht="28.35" hidden="false" customHeight="false" outlineLevel="0" collapsed="false">
      <c r="A19" s="26" t="s">
        <v>36</v>
      </c>
      <c r="B19" s="27" t="s">
        <v>18</v>
      </c>
      <c r="C19" s="28" t="s">
        <v>40</v>
      </c>
      <c r="D19" s="29"/>
      <c r="E19" s="27" t="s">
        <v>20</v>
      </c>
      <c r="F19" s="30" t="str">
        <f aca="false">IF(AND(D19&lt;&gt;"",G19&lt;&gt;""),G19/D19,"")</f>
        <v/>
      </c>
      <c r="G19" s="12"/>
      <c r="H19" s="32" t="s">
        <v>39</v>
      </c>
    </row>
    <row r="20" customFormat="false" ht="28.35" hidden="false" customHeight="false" outlineLevel="0" collapsed="false">
      <c r="A20" s="26" t="s">
        <v>36</v>
      </c>
      <c r="B20" s="27" t="s">
        <v>21</v>
      </c>
      <c r="C20" s="28" t="s">
        <v>41</v>
      </c>
      <c r="D20" s="29" t="n">
        <v>500</v>
      </c>
      <c r="E20" s="27" t="s">
        <v>30</v>
      </c>
      <c r="F20" s="30" t="str">
        <f aca="false">IF(AND(D20&lt;&gt;"",G20&lt;&gt;""),G20/D20,"")</f>
        <v/>
      </c>
      <c r="G20" s="12"/>
      <c r="H20" s="32" t="s">
        <v>31</v>
      </c>
    </row>
    <row r="21" customFormat="false" ht="15" hidden="false" customHeight="false" outlineLevel="0" collapsed="false">
      <c r="A21" s="26" t="s">
        <v>36</v>
      </c>
      <c r="B21" s="27" t="s">
        <v>42</v>
      </c>
      <c r="C21" s="28" t="s">
        <v>43</v>
      </c>
      <c r="D21" s="29" t="n">
        <v>2</v>
      </c>
      <c r="E21" s="27" t="s">
        <v>13</v>
      </c>
      <c r="F21" s="30" t="n">
        <f aca="false">IF(AND(D21&lt;&gt;"",G21&lt;&gt;""),G21/D21,"")</f>
        <v>1500</v>
      </c>
      <c r="G21" s="30" t="n">
        <v>3000</v>
      </c>
      <c r="H21" s="31" t="s">
        <v>44</v>
      </c>
    </row>
    <row r="22" customFormat="false" ht="28.35" hidden="false" customHeight="false" outlineLevel="0" collapsed="false">
      <c r="A22" s="26" t="s">
        <v>36</v>
      </c>
      <c r="B22" s="27" t="s">
        <v>24</v>
      </c>
      <c r="C22" s="28" t="s">
        <v>45</v>
      </c>
      <c r="D22" s="29" t="n">
        <v>1</v>
      </c>
      <c r="E22" s="27" t="s">
        <v>46</v>
      </c>
      <c r="F22" s="30" t="n">
        <f aca="false">IF(AND(D22&lt;&gt;"",G22&lt;&gt;""),G22/D22,"")</f>
        <v>795</v>
      </c>
      <c r="G22" s="30" t="n">
        <v>795</v>
      </c>
      <c r="H22" s="31" t="s">
        <v>14</v>
      </c>
    </row>
    <row r="23" customFormat="false" ht="28.35" hidden="false" customHeight="false" outlineLevel="0" collapsed="false">
      <c r="A23" s="26" t="s">
        <v>36</v>
      </c>
      <c r="B23" s="27" t="s">
        <v>47</v>
      </c>
      <c r="C23" s="28" t="s">
        <v>48</v>
      </c>
      <c r="D23" s="29" t="n">
        <v>3</v>
      </c>
      <c r="E23" s="27" t="s">
        <v>13</v>
      </c>
      <c r="F23" s="30" t="n">
        <f aca="false">IF(AND(D23&lt;&gt;"",G23&lt;&gt;""),G23/D23,"")</f>
        <v>650</v>
      </c>
      <c r="G23" s="30" t="n">
        <v>1950</v>
      </c>
      <c r="H23" s="31" t="s">
        <v>14</v>
      </c>
    </row>
    <row r="24" customFormat="false" ht="28.35" hidden="false" customHeight="false" outlineLevel="0" collapsed="false">
      <c r="A24" s="26" t="s">
        <v>36</v>
      </c>
      <c r="B24" s="27" t="s">
        <v>49</v>
      </c>
      <c r="C24" s="28" t="s">
        <v>25</v>
      </c>
      <c r="D24" s="29"/>
      <c r="E24" s="27"/>
      <c r="F24" s="30" t="str">
        <f aca="false">IF(AND(D24&lt;&gt;"",G24&lt;&gt;""),G24/D24,"")</f>
        <v/>
      </c>
      <c r="G24" s="12"/>
      <c r="H24" s="32" t="s">
        <v>26</v>
      </c>
    </row>
    <row r="25" customFormat="false" ht="18" hidden="false" customHeight="true" outlineLevel="0" collapsed="false">
      <c r="A25" s="14"/>
      <c r="B25" s="15"/>
      <c r="C25" s="16" t="s">
        <v>50</v>
      </c>
      <c r="D25" s="15"/>
      <c r="E25" s="15"/>
      <c r="F25" s="15"/>
      <c r="G25" s="17" t="n">
        <f aca="false">SUM(G17:G24)</f>
        <v>7520</v>
      </c>
      <c r="H25" s="18" t="s">
        <v>51</v>
      </c>
    </row>
    <row r="27" customFormat="false" ht="19.5" hidden="false" customHeight="true" outlineLevel="0" collapsed="false">
      <c r="A27" s="33"/>
      <c r="B27" s="34"/>
      <c r="C27" s="35" t="s">
        <v>52</v>
      </c>
      <c r="D27" s="34"/>
      <c r="E27" s="34"/>
      <c r="F27" s="34"/>
      <c r="G27" s="36" t="n">
        <f aca="false">G10+G15+G25</f>
        <v>40175</v>
      </c>
      <c r="H27" s="37"/>
    </row>
    <row r="29" customFormat="false" ht="35.05" hidden="false" customHeight="false" outlineLevel="0" collapsed="false">
      <c r="A29" s="38" t="s">
        <v>53</v>
      </c>
      <c r="C29" s="39" t="s">
        <v>54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58"/>
  </cols>
  <sheetData>
    <row r="1" customFormat="false" ht="30" hidden="false" customHeight="true" outlineLevel="0" collapsed="false">
      <c r="A1" s="1" t="s">
        <v>55</v>
      </c>
      <c r="B1" s="1"/>
      <c r="C1" s="1"/>
      <c r="D1" s="1"/>
      <c r="E1" s="1"/>
    </row>
    <row r="3" customFormat="false" ht="31.5" hidden="false" customHeight="true" outlineLevel="0" collapsed="false">
      <c r="A3" s="3" t="s">
        <v>2</v>
      </c>
      <c r="B3" s="4" t="s">
        <v>56</v>
      </c>
      <c r="C3" s="4" t="s">
        <v>57</v>
      </c>
      <c r="D3" s="4" t="s">
        <v>58</v>
      </c>
      <c r="E3" s="5" t="s">
        <v>59</v>
      </c>
    </row>
    <row r="4" customFormat="false" ht="28.35" hidden="false" customHeight="false" outlineLevel="0" collapsed="false">
      <c r="A4" s="6" t="s">
        <v>10</v>
      </c>
      <c r="B4" s="10" t="n">
        <f aca="false">Kostenoverzicht!G10</f>
        <v>13905</v>
      </c>
      <c r="C4" s="9" t="n">
        <f aca="false">COUNTBLANK(Kostenoverzicht!G5:G9)</f>
        <v>1</v>
      </c>
      <c r="D4" s="40" t="n">
        <f aca="false">IF($B$8=0,0,B4/$B$8)</f>
        <v>0.346110765401369</v>
      </c>
      <c r="E4" s="11" t="s">
        <v>60</v>
      </c>
    </row>
    <row r="5" customFormat="false" ht="15" hidden="false" customHeight="false" outlineLevel="0" collapsed="false">
      <c r="A5" s="19" t="s">
        <v>29</v>
      </c>
      <c r="B5" s="23" t="n">
        <f aca="false">Kostenoverzicht!G15</f>
        <v>18750</v>
      </c>
      <c r="C5" s="22" t="n">
        <f aca="false">COUNTBLANK(Kostenoverzicht!G12:G14)</f>
        <v>1</v>
      </c>
      <c r="D5" s="41" t="n">
        <f aca="false">IF($B$8=0,0,B5/$B$8)</f>
        <v>0.466708151835719</v>
      </c>
      <c r="E5" s="25" t="s">
        <v>61</v>
      </c>
    </row>
    <row r="6" customFormat="false" ht="28.35" hidden="false" customHeight="false" outlineLevel="0" collapsed="false">
      <c r="A6" s="26" t="s">
        <v>36</v>
      </c>
      <c r="B6" s="30" t="n">
        <f aca="false">Kostenoverzicht!G25</f>
        <v>7520</v>
      </c>
      <c r="C6" s="29" t="n">
        <f aca="false">COUNTBLANK(Kostenoverzicht!G17:G24)</f>
        <v>4</v>
      </c>
      <c r="D6" s="42" t="n">
        <f aca="false">IF($B$8=0,0,B6/$B$8)</f>
        <v>0.187181082762912</v>
      </c>
      <c r="E6" s="31" t="s">
        <v>62</v>
      </c>
    </row>
    <row r="8" customFormat="false" ht="19.5" hidden="false" customHeight="true" outlineLevel="0" collapsed="false">
      <c r="A8" s="33" t="s">
        <v>63</v>
      </c>
      <c r="B8" s="36" t="n">
        <f aca="false">SUM(B4:B6)</f>
        <v>40175</v>
      </c>
      <c r="C8" s="43" t="n">
        <f aca="false">SUM(C4:C6)</f>
        <v>6</v>
      </c>
      <c r="D8" s="44" t="n">
        <f aca="false">IF($B$8=0,0,SUM(D4:D6))</f>
        <v>1</v>
      </c>
      <c r="E8" s="45" t="s">
        <v>64</v>
      </c>
    </row>
    <row r="10" customFormat="false" ht="15" hidden="false" customHeight="false" outlineLevel="0" collapsed="false">
      <c r="A10" s="46" t="s">
        <v>65</v>
      </c>
    </row>
  </sheetData>
  <mergeCells count="1">
    <mergeCell ref="A1:E1"/>
  </mergeCells>
  <printOptions headings="false" gridLines="false" gridLinesSet="true" horizontalCentered="fals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2026-09-07T08:40:27Z</dcterms:created>
  <dc:creator>openpyxl</dc:creator>
  <dc:description/>
  <dc:language>en-US</dc:language>
  <cp:lastModifiedBy/>
  <dcterms:modified xsi:type="dcterms:W3CDTF">2026-09-07T09:06:08Z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